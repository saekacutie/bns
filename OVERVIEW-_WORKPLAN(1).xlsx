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<sst xmlns="http://schemas.openxmlformats.org/spreadsheetml/2006/main" count="239" uniqueCount="137">
  <si>
    <t>Work and Financial Plan 2027                                                                                                                                                                                                      Liloy, Zamboanga del Norte</t>
  </si>
  <si>
    <t>Program/Project/ Activity</t>
  </si>
  <si>
    <t>Target</t>
  </si>
  <si>
    <t>Target Group</t>
  </si>
  <si>
    <t>Target Group (Number/ Quantity)</t>
  </si>
  <si>
    <t>Location (Purok)</t>
  </si>
  <si>
    <t>Budget needed</t>
  </si>
  <si>
    <t xml:space="preserve">Total </t>
  </si>
  <si>
    <t>Brgy.</t>
  </si>
  <si>
    <t>LGU</t>
  </si>
  <si>
    <t>Source of Fund</t>
  </si>
  <si>
    <t>Amount</t>
  </si>
  <si>
    <t>I. Healthier Diets</t>
  </si>
  <si>
    <t>1. Dietary Supplementation Program</t>
  </si>
  <si>
    <t xml:space="preserve">1.1 Suplementary Feeding 6-23 mos old </t>
  </si>
  <si>
    <t xml:space="preserve">6-23 months </t>
  </si>
  <si>
    <t>ALL PUROK</t>
  </si>
  <si>
    <t>BCPC</t>
  </si>
  <si>
    <t>PMNP</t>
  </si>
  <si>
    <t>1.3 Suplementary Feeding Pregnant women NAR</t>
  </si>
  <si>
    <t>teenage pregnant</t>
  </si>
  <si>
    <t>LCPC Fund</t>
  </si>
  <si>
    <t>1.5 Provision of Blended Cereals  (6-59 mos old)</t>
  </si>
  <si>
    <t>6-59 mos old children</t>
  </si>
  <si>
    <t># of children</t>
  </si>
  <si>
    <t>1.6 Provision of LNS-SQ (6-59 mos old)</t>
  </si>
  <si>
    <t># of Brgy.</t>
  </si>
  <si>
    <t>PBG Tranche 2</t>
  </si>
  <si>
    <t>1.7 Provision of Nutri Bun /blended cereals 24 grams</t>
  </si>
  <si>
    <t>1.8 Provision of Nutri Bun for children</t>
  </si>
  <si>
    <t>1.9 Provision of RUTF/RUSF (6-59 mos old)</t>
  </si>
  <si>
    <t>1.10 Provision of RUSF (Pregnant and Lactating)</t>
  </si>
  <si>
    <t>1.11 Procurement of Rice, Egg, Banana/Apple (NAR Pregnant Women)</t>
  </si>
  <si>
    <t>NAR Pregnant Women</t>
  </si>
  <si>
    <t># of Pregnant NARt</t>
  </si>
  <si>
    <t>SUPPLEMENTARY feeding for 6-59 mos. ( uw &amp; st )</t>
  </si>
  <si>
    <t>6-59 mos old malnourished</t>
  </si>
  <si>
    <t>all purok</t>
  </si>
  <si>
    <t>GAD</t>
  </si>
  <si>
    <t>2. Support to Economic Access to Nutrient Dense Food</t>
  </si>
  <si>
    <t>2.1 Backyard Gardening (Seedilings or Fingerlings from DA)</t>
  </si>
  <si>
    <t>ALL HH</t>
  </si>
  <si>
    <t>246 HH</t>
  </si>
  <si>
    <t>BLGU</t>
  </si>
  <si>
    <t>2.2 Giving Fertilizer to Farmers(DA)</t>
  </si>
  <si>
    <t>2.3 Gulayan sa Paaralan</t>
  </si>
  <si>
    <t>2.4 Livelyhood Program (Dept. of Agriculture)</t>
  </si>
  <si>
    <t>II. Better Nutrition Practices</t>
  </si>
  <si>
    <t>Support to Maternal and Child Health Nutrition Services</t>
  </si>
  <si>
    <t>2.a Support to MicroNutrient Supplementation</t>
  </si>
  <si>
    <t>2.a.1 Provision of Iron with Folic to Pregnant and Lactating</t>
  </si>
  <si>
    <t xml:space="preserve"> Pregnant &amp; Lactating</t>
  </si>
  <si>
    <t># of Pregnant &amp; Lactating</t>
  </si>
  <si>
    <t>2.a.2 Provision of Iron with Folic to Pregnant and Lactating</t>
  </si>
  <si>
    <t>2.a.3 Procurement of MMS to Pregnant and Lactating</t>
  </si>
  <si>
    <t>2.a.4 Provision of Calcium Carbonate to Pregnant Women</t>
  </si>
  <si>
    <t>NAR Pregnant and Lactating</t>
  </si>
  <si>
    <t>2.a.5 Provision of MNP 6-23 mos old children</t>
  </si>
  <si>
    <t>2.a.6 Promotion of Iodized Salt</t>
  </si>
  <si>
    <t>2.a.7 Provision  of Multivitamins + Minerals 120 ml</t>
  </si>
  <si>
    <t>2.a.8 Provision of Ascorbic Acid (Pregnant and Lactating Women)</t>
  </si>
  <si>
    <t>Nutrition Development Fund</t>
  </si>
  <si>
    <t>2.a.9 Provision of Ascorbic Acid (Pregnant and Lactating Women)</t>
  </si>
  <si>
    <t xml:space="preserve"> 2. b Support to First 1000 days advocacy/IYCF Advocacy</t>
  </si>
  <si>
    <t>2.b.1 Buntis Congress</t>
  </si>
  <si>
    <t>2.b.2 Buntis Kit</t>
  </si>
  <si>
    <t>2.b.3 Mothers Class (Nutrition Education)</t>
  </si>
  <si>
    <t>PREGNANT &amp; LACTATING</t>
  </si>
  <si>
    <t>ALL PUROKS</t>
  </si>
  <si>
    <t>2.b.5 Complete Immunization -SNACKS/LUNCH</t>
  </si>
  <si>
    <t>BNS,BHW &amp; MIDWIFE</t>
  </si>
  <si>
    <t>HEALTH CENTER</t>
  </si>
  <si>
    <t>2.b.6 Vitamin A supplementation (Garantisadong Pambata)</t>
  </si>
  <si>
    <t>DOH</t>
  </si>
  <si>
    <t>2.b.7 Production of Tarp on Awarenes Raising on Health and Nutrition Programs</t>
  </si>
  <si>
    <t>2.b.8 Community Nutrition Support Group on Service Improvement</t>
  </si>
  <si>
    <t>2.b.9 Community Engagement on Safe Motherhood</t>
  </si>
  <si>
    <t>2.b.10 Conduct Dialogue to Adolescent on Health Nutrition, Eraly Preganancy Detection and HIV (Health Young Ones)</t>
  </si>
  <si>
    <t>10-19 YEARS OLD</t>
  </si>
  <si>
    <t>2.b.12 Procurement of Digital Salter Weighing Scale for Baby (25 kg)</t>
  </si>
  <si>
    <t>2.b.13 Breastfeeding Awareness</t>
  </si>
  <si>
    <t>2.b.14 Condduct F1KD Campaign Radio Plugs</t>
  </si>
  <si>
    <t>2.b.15 Provision of Hot Meal During Deworming</t>
  </si>
  <si>
    <t>12-59 MOS</t>
  </si>
  <si>
    <t>2.C Support to Food Fortification</t>
  </si>
  <si>
    <t>2.c.1 Procurement of Iodize Salt</t>
  </si>
  <si>
    <t>2.c.2 Procuement of Reagent of WYD for Iodize Salt Monitoring</t>
  </si>
  <si>
    <t>III. Improved Access and Quality Nutrition Services</t>
  </si>
  <si>
    <t>3.1 Conduct Operation Timbang Plus (OPT)</t>
  </si>
  <si>
    <t>0-59 MOS. OLD</t>
  </si>
  <si>
    <t>3.2 Conduct growth monitoring and promotion (GMP)</t>
  </si>
  <si>
    <t>3.3 Conduct community-based management of acute malnutrition (CMAM/PIMAM)</t>
  </si>
  <si>
    <t>3.4 Conduct Vitamin A supplementation and deworming activity (GP)</t>
  </si>
  <si>
    <t>3.5 Nutrition Month Celebration</t>
  </si>
  <si>
    <t>4PS'S, IP'S, FAMILIES</t>
  </si>
  <si>
    <t>3.6 Conduct regular home visits for nutritionally at-risk children/Pregnant</t>
  </si>
  <si>
    <t>3.7 PuroKalusugan Advocacy</t>
  </si>
  <si>
    <t>PREGNANT/ LACTATING</t>
  </si>
  <si>
    <t>3.8 Conduct nutrition education sessions during barangay activities (FDS, Walang Gutom)</t>
  </si>
  <si>
    <t>3.9 Conduct cooking demonstrations using locally available nutritious foods</t>
  </si>
  <si>
    <t>3.10 Conduct regular monitoring of nutrition program implementation</t>
  </si>
  <si>
    <t>BNC MEMBER</t>
  </si>
  <si>
    <t>SESSION HALL</t>
  </si>
  <si>
    <t>IV. Enabling Environment</t>
  </si>
  <si>
    <t>4.a.1 Technical Assistance to Barangays for BNAP Formulation (BNAP Workshop)</t>
  </si>
  <si>
    <t>4.b.2 Formulation of BNAP and Updates</t>
  </si>
  <si>
    <t>BNC MEMBERS</t>
  </si>
  <si>
    <t>4.c.3 MELLPI Pro Monitoring - SNACKS</t>
  </si>
  <si>
    <t>MEMBERS AND NUTRITION</t>
  </si>
  <si>
    <t>4.d.4 Recognition of Outstanding BNS</t>
  </si>
  <si>
    <t>4.e.5 Recognition of Brgy Best Implementors to Nutrition Programs</t>
  </si>
  <si>
    <t>5. Stakeholders Engagement to Local Leaders</t>
  </si>
  <si>
    <t>5.a.1 PIR</t>
  </si>
  <si>
    <t>5.a.2 PIR</t>
  </si>
  <si>
    <t>5.a.3 Stakeholders Consultative Meeting</t>
  </si>
  <si>
    <t>4. Capacity Building/Human Reosurce Development Program</t>
  </si>
  <si>
    <t>4.a.1 Primary Health care  Trainings/ Reorientation to Workers</t>
  </si>
  <si>
    <t>4.b.2 Trainings/Orientations to Workers</t>
  </si>
  <si>
    <t>5. Support to Pgysical Mobilization for Personnel under PMNP Activities</t>
  </si>
  <si>
    <t>5.a.1 BNS Mobilizations Allowances</t>
  </si>
  <si>
    <t>BNS</t>
  </si>
  <si>
    <t>5.a.3Communication Allowances to PMNP/HCSC Workers</t>
  </si>
  <si>
    <t>5.a.4 Travelling Allowances - ALL HEALTH WORKERS</t>
  </si>
  <si>
    <t>HEALTH WORKERS</t>
  </si>
  <si>
    <t>5.a.5 Travelling Allowances</t>
  </si>
  <si>
    <t xml:space="preserve">6. Support to Nutrition Programs Operation </t>
  </si>
  <si>
    <t>6.a.1 Nutrition Office Supplies and Office Improvement</t>
  </si>
  <si>
    <t>HEALTH CENTER/NUTRITION OFFICE</t>
  </si>
  <si>
    <t>Prepared/Recorded by:</t>
  </si>
  <si>
    <t>Noted by:</t>
  </si>
  <si>
    <t>Approved:</t>
  </si>
  <si>
    <t xml:space="preserve">                              ROSANNA INDOC</t>
  </si>
  <si>
    <r>
      <t xml:space="preserve"> </t>
    </r>
    <r>
      <rPr>
        <u/>
        <sz val="11"/>
        <color theme="1"/>
        <rFont val="Calibri"/>
        <charset val="134"/>
      </rPr>
      <t>WARFELINA Y. BASAY</t>
    </r>
  </si>
  <si>
    <r>
      <t>__</t>
    </r>
    <r>
      <rPr>
        <u/>
        <sz val="11"/>
        <color theme="1"/>
        <rFont val="Calibri"/>
        <charset val="134"/>
      </rPr>
      <t>ANTOLOIN C VIILAHERMOSA</t>
    </r>
    <r>
      <rPr>
        <sz val="11"/>
        <color theme="1"/>
        <rFont val="Calibri"/>
        <charset val="134"/>
      </rPr>
      <t>_</t>
    </r>
  </si>
  <si>
    <t>Name and Signature of Barangay Nutrition Scholar</t>
  </si>
  <si>
    <t>Name and Signature of Kagawad on Health &amp; Nutrition</t>
  </si>
  <si>
    <t>Name and Signature of BNC/ BARANGAY GHAIRMAN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</si>
</sst>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theme="1"/>
      <name val="Calibri"/>
      <charset val="134"/>
    </font>
    <font>
      <b/>
      <sz val="10"/>
      <color theme="1"/>
      <name val="Arial"/>
      <charset val="134"/>
    </font>
    <font>
      <b/>
      <sz val="10"/>
      <color theme="1"/>
      <name val="Calibri"/>
      <charset val="134"/>
    </font>
    <font>
      <sz val="11"/>
      <name val="Calibri"/>
      <charset val="134"/>
      <scheme val="minor"/>
    </font>
    <font>
      <b/>
      <sz val="9"/>
      <color theme="1"/>
      <name val="Arial"/>
      <charset val="134"/>
    </font>
    <font>
      <b/>
      <sz val="8"/>
      <color theme="1"/>
      <name val="Arial"/>
      <charset val="134"/>
    </font>
    <font>
      <b/>
      <i/>
      <sz val="11"/>
      <color theme="1"/>
      <name val="Calibri"/>
      <charset val="134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rgb="FFFF0000"/>
      <name val="Calibri"/>
      <charset val="134"/>
    </font>
    <font>
      <sz val="12"/>
      <color theme="1"/>
      <name val="Calibri"/>
      <charset val="134"/>
    </font>
    <font>
      <u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ADB9CA"/>
        <bgColor rgb="FFADB9CA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2CB"/>
        <bgColor rgb="FFFFF2CB"/>
      </patternFill>
    </fill>
    <fill>
      <patternFill patternType="solid">
        <fgColor theme="9"/>
        <bgColor theme="9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25" fillId="13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6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6" xfId="0" applyFont="1" applyBorder="1"/>
    <xf numFmtId="0" fontId="7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4" fontId="1" fillId="4" borderId="7" xfId="0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4" fontId="1" fillId="6" borderId="7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4" fontId="1" fillId="2" borderId="7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1" fillId="6" borderId="7" xfId="0" applyFont="1" applyFill="1" applyBorder="1" applyAlignment="1">
      <alignment vertical="center" wrapText="1"/>
    </xf>
    <xf numFmtId="3" fontId="1" fillId="5" borderId="7" xfId="0" applyNumberFormat="1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3" fontId="1" fillId="5" borderId="7" xfId="0" applyNumberFormat="1" applyFont="1" applyFill="1" applyBorder="1" applyAlignment="1">
      <alignment horizontal="center" vertical="center"/>
    </xf>
    <xf numFmtId="4" fontId="1" fillId="6" borderId="7" xfId="0" applyNumberFormat="1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4" fontId="1" fillId="6" borderId="1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8" fillId="7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4" fontId="1" fillId="7" borderId="7" xfId="0" applyNumberFormat="1" applyFont="1" applyFill="1" applyBorder="1" applyAlignment="1">
      <alignment horizontal="center" vertical="center"/>
    </xf>
    <xf numFmtId="4" fontId="1" fillId="8" borderId="7" xfId="0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wrapText="1"/>
    </xf>
    <xf numFmtId="0" fontId="11" fillId="5" borderId="0" xfId="0" applyFont="1" applyFill="1" applyBorder="1"/>
    <xf numFmtId="0" fontId="11" fillId="7" borderId="7" xfId="0" applyFont="1" applyFill="1" applyBorder="1" applyAlignment="1">
      <alignment horizontal="center" vertical="center"/>
    </xf>
    <xf numFmtId="4" fontId="11" fillId="7" borderId="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7" xfId="0" applyFont="1" applyFill="1" applyBorder="1" applyAlignment="1">
      <alignment horizontal="left" vertical="center" wrapText="1"/>
    </xf>
    <xf numFmtId="0" fontId="12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tabSelected="1" zoomScale="72" zoomScaleNormal="72" topLeftCell="A86" workbookViewId="0">
      <selection activeCell="B1" sqref="B1:K94"/>
    </sheetView>
  </sheetViews>
  <sheetFormatPr defaultColWidth="14.4285714285714" defaultRowHeight="15" customHeight="1"/>
  <cols>
    <col min="1" max="1" width="3" customWidth="1"/>
    <col min="2" max="2" width="43.2857142857143" customWidth="1"/>
    <col min="3" max="3" width="20.8571428571429" customWidth="1"/>
    <col min="4" max="4" width="15.2857142857143" customWidth="1"/>
    <col min="5" max="5" width="22.1428571428571" customWidth="1"/>
    <col min="6" max="6" width="14.1428571428571" customWidth="1"/>
    <col min="7" max="8" width="16" customWidth="1"/>
    <col min="9" max="9" width="17.8571428571429" customWidth="1"/>
    <col min="10" max="10" width="19.2857142857143" customWidth="1"/>
    <col min="11" max="26" width="8.71428571428571" customWidth="1"/>
  </cols>
  <sheetData>
    <row r="1" ht="14.25" customHeight="1"/>
    <row r="2" ht="14.25" customHeight="1" spans="1:26">
      <c r="B2" s="1"/>
    </row>
    <row r="3" ht="44.25" customHeight="1" spans="1:26">
      <c r="A3" s="2"/>
      <c r="B3" s="3" t="s">
        <v>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 spans="1:26">
      <c r="A4" s="2"/>
      <c r="B4" s="4" t="s">
        <v>1</v>
      </c>
      <c r="C4" s="5" t="s">
        <v>2</v>
      </c>
      <c r="D4" s="6"/>
      <c r="E4" s="6"/>
      <c r="F4" s="6"/>
      <c r="G4" s="6"/>
      <c r="H4" s="6"/>
      <c r="I4" s="6"/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 spans="1:26">
      <c r="A5" s="2"/>
      <c r="B5" s="8"/>
      <c r="C5" s="4" t="s">
        <v>3</v>
      </c>
      <c r="D5" s="5">
        <v>2027</v>
      </c>
      <c r="E5" s="6"/>
      <c r="F5" s="6"/>
      <c r="G5" s="6"/>
      <c r="H5" s="6"/>
      <c r="I5" s="6"/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" customHeight="1" spans="1:26">
      <c r="A6" s="2"/>
      <c r="B6" s="8"/>
      <c r="C6" s="8"/>
      <c r="D6" s="9" t="s">
        <v>4</v>
      </c>
      <c r="E6" s="4" t="s">
        <v>5</v>
      </c>
      <c r="F6" s="10" t="s">
        <v>6</v>
      </c>
      <c r="G6" s="6"/>
      <c r="H6" s="6"/>
      <c r="I6" s="7"/>
      <c r="J6" s="4" t="s">
        <v>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" customHeight="1" spans="1:26">
      <c r="A7" s="2"/>
      <c r="B7" s="8"/>
      <c r="C7" s="8"/>
      <c r="D7" s="8"/>
      <c r="E7" s="8"/>
      <c r="F7" s="10" t="s">
        <v>8</v>
      </c>
      <c r="G7" s="7"/>
      <c r="H7" s="10" t="s">
        <v>9</v>
      </c>
      <c r="I7" s="7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" customHeight="1" spans="1:26">
      <c r="A8" s="2"/>
      <c r="B8" s="11"/>
      <c r="C8" s="11"/>
      <c r="D8" s="11"/>
      <c r="E8" s="11"/>
      <c r="F8" s="12" t="s">
        <v>10</v>
      </c>
      <c r="G8" s="13" t="s">
        <v>11</v>
      </c>
      <c r="H8" s="12" t="s">
        <v>10</v>
      </c>
      <c r="I8" s="13" t="s">
        <v>11</v>
      </c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2"/>
      <c r="B9" s="14" t="s">
        <v>12</v>
      </c>
      <c r="C9" s="15"/>
      <c r="D9" s="15"/>
      <c r="E9" s="15"/>
      <c r="F9" s="15"/>
      <c r="G9" s="15"/>
      <c r="H9" s="15"/>
      <c r="I9" s="15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 spans="1:26">
      <c r="A10" s="2"/>
      <c r="B10" s="16" t="s">
        <v>13</v>
      </c>
      <c r="C10" s="17"/>
      <c r="D10" s="17"/>
      <c r="E10" s="17"/>
      <c r="F10" s="17"/>
      <c r="G10" s="17"/>
      <c r="H10" s="17"/>
      <c r="I10" s="17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" customHeight="1" spans="1:26">
      <c r="A11" s="2"/>
      <c r="B11" s="18" t="s">
        <v>14</v>
      </c>
      <c r="C11" s="19" t="s">
        <v>15</v>
      </c>
      <c r="D11" s="20">
        <v>27</v>
      </c>
      <c r="E11" s="19" t="s">
        <v>16</v>
      </c>
      <c r="F11" s="19" t="s">
        <v>17</v>
      </c>
      <c r="G11" s="21">
        <v>15000</v>
      </c>
      <c r="H11" s="19" t="s">
        <v>18</v>
      </c>
      <c r="I11" s="21">
        <v>100000</v>
      </c>
      <c r="J11" s="21">
        <v>200000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 spans="1:26">
      <c r="A12" s="2"/>
      <c r="B12" s="18" t="s">
        <v>19</v>
      </c>
      <c r="C12" s="19" t="s">
        <v>20</v>
      </c>
      <c r="D12" s="20">
        <v>3</v>
      </c>
      <c r="E12" s="19" t="s">
        <v>16</v>
      </c>
      <c r="F12" s="19" t="s">
        <v>17</v>
      </c>
      <c r="G12" s="21">
        <v>1800</v>
      </c>
      <c r="H12" s="19" t="s">
        <v>21</v>
      </c>
      <c r="I12" s="21">
        <v>100000</v>
      </c>
      <c r="J12" s="21">
        <v>200000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75" customHeight="1" spans="1:26">
      <c r="A13" s="2"/>
      <c r="B13" s="18" t="s">
        <v>22</v>
      </c>
      <c r="C13" s="22" t="s">
        <v>23</v>
      </c>
      <c r="D13" s="23" t="s">
        <v>24</v>
      </c>
      <c r="E13" s="24" t="s">
        <v>16</v>
      </c>
      <c r="F13" s="24"/>
      <c r="G13" s="25"/>
      <c r="H13" s="22" t="s">
        <v>21</v>
      </c>
      <c r="I13" s="25">
        <v>30000</v>
      </c>
      <c r="J13" s="2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75" customHeight="1" spans="1:26">
      <c r="A14" s="2"/>
      <c r="B14" s="26" t="s">
        <v>25</v>
      </c>
      <c r="C14" s="22" t="s">
        <v>23</v>
      </c>
      <c r="D14" s="23" t="s">
        <v>24</v>
      </c>
      <c r="E14" s="24" t="s">
        <v>26</v>
      </c>
      <c r="F14" s="24"/>
      <c r="G14" s="25"/>
      <c r="H14" s="22" t="s">
        <v>27</v>
      </c>
      <c r="I14" s="25">
        <v>60000</v>
      </c>
      <c r="J14" s="2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75" customHeight="1" spans="1:26">
      <c r="A15" s="2"/>
      <c r="B15" s="18" t="s">
        <v>28</v>
      </c>
      <c r="C15" s="22" t="s">
        <v>23</v>
      </c>
      <c r="D15" s="23" t="s">
        <v>24</v>
      </c>
      <c r="E15" s="24" t="s">
        <v>26</v>
      </c>
      <c r="F15" s="24"/>
      <c r="G15" s="25"/>
      <c r="H15" s="22" t="s">
        <v>27</v>
      </c>
      <c r="I15" s="25">
        <v>70000</v>
      </c>
      <c r="J15" s="2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75" customHeight="1" spans="1:26">
      <c r="A16" s="2"/>
      <c r="B16" s="18" t="s">
        <v>29</v>
      </c>
      <c r="C16" s="22" t="s">
        <v>23</v>
      </c>
      <c r="D16" s="23" t="s">
        <v>24</v>
      </c>
      <c r="E16" s="24" t="s">
        <v>26</v>
      </c>
      <c r="F16" s="24"/>
      <c r="G16" s="25"/>
      <c r="H16" s="22" t="s">
        <v>21</v>
      </c>
      <c r="I16" s="25">
        <v>70000</v>
      </c>
      <c r="J16" s="2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75" customHeight="1" spans="1:26">
      <c r="A17" s="2"/>
      <c r="B17" s="27" t="s">
        <v>30</v>
      </c>
      <c r="C17" s="22" t="s">
        <v>23</v>
      </c>
      <c r="D17" s="23" t="s">
        <v>24</v>
      </c>
      <c r="E17" s="24" t="s">
        <v>26</v>
      </c>
      <c r="F17" s="24"/>
      <c r="G17" s="25"/>
      <c r="H17" s="22" t="s">
        <v>27</v>
      </c>
      <c r="I17" s="25">
        <v>240000</v>
      </c>
      <c r="J17" s="2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75" customHeight="1" spans="1:26">
      <c r="A18" s="2"/>
      <c r="B18" s="18" t="s">
        <v>31</v>
      </c>
      <c r="C18" s="19"/>
      <c r="D18" s="20"/>
      <c r="E18" s="19"/>
      <c r="F18" s="19"/>
      <c r="G18" s="21"/>
      <c r="H18" s="19"/>
      <c r="I18" s="21"/>
      <c r="J18" s="1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 spans="1:26">
      <c r="A19" s="2"/>
      <c r="B19" s="18" t="s">
        <v>32</v>
      </c>
      <c r="C19" s="22" t="s">
        <v>33</v>
      </c>
      <c r="D19" s="28" t="s">
        <v>34</v>
      </c>
      <c r="E19" s="22" t="s">
        <v>26</v>
      </c>
      <c r="F19" s="22"/>
      <c r="G19" s="25"/>
      <c r="H19" s="22" t="s">
        <v>21</v>
      </c>
      <c r="I19" s="25">
        <v>180000</v>
      </c>
      <c r="J19" s="2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75" customHeight="1" spans="1:26">
      <c r="A20" s="2"/>
      <c r="B20" s="18" t="s">
        <v>35</v>
      </c>
      <c r="C20" s="22" t="s">
        <v>36</v>
      </c>
      <c r="D20" s="28">
        <v>19</v>
      </c>
      <c r="E20" s="22" t="s">
        <v>37</v>
      </c>
      <c r="F20" s="22" t="s">
        <v>38</v>
      </c>
      <c r="G20" s="25">
        <v>10000</v>
      </c>
      <c r="H20" s="22"/>
      <c r="I20" s="25"/>
      <c r="J20" s="2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75" customHeight="1" spans="1:26">
      <c r="A21" s="2"/>
      <c r="B21" s="29" t="s">
        <v>39</v>
      </c>
      <c r="C21" s="30"/>
      <c r="D21" s="31"/>
      <c r="E21" s="30"/>
      <c r="F21" s="30"/>
      <c r="G21" s="32"/>
      <c r="H21" s="30"/>
      <c r="I21" s="32"/>
      <c r="J21" s="3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75" customHeight="1" spans="1:26">
      <c r="A22" s="2"/>
      <c r="B22" s="27" t="s">
        <v>40</v>
      </c>
      <c r="C22" s="22" t="s">
        <v>41</v>
      </c>
      <c r="D22" s="28" t="s">
        <v>42</v>
      </c>
      <c r="E22" s="22" t="s">
        <v>16</v>
      </c>
      <c r="F22" s="22" t="s">
        <v>43</v>
      </c>
      <c r="G22" s="25">
        <v>1500</v>
      </c>
      <c r="H22" s="22"/>
      <c r="I22" s="25"/>
      <c r="J22" s="2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75" customHeight="1" spans="1:26">
      <c r="A23" s="2"/>
      <c r="B23" s="18" t="s">
        <v>44</v>
      </c>
      <c r="C23" s="22" t="s">
        <v>41</v>
      </c>
      <c r="D23" s="28" t="s">
        <v>42</v>
      </c>
      <c r="E23" s="22" t="s">
        <v>16</v>
      </c>
      <c r="F23" s="22" t="s">
        <v>43</v>
      </c>
      <c r="G23" s="25">
        <v>2200</v>
      </c>
      <c r="H23" s="22"/>
      <c r="I23" s="25"/>
      <c r="J23" s="2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75" customHeight="1" spans="1:26">
      <c r="A24" s="2"/>
      <c r="B24" s="18" t="s">
        <v>45</v>
      </c>
      <c r="C24" s="22"/>
      <c r="D24" s="28"/>
      <c r="E24" s="22"/>
      <c r="F24" s="22"/>
      <c r="G24" s="25"/>
      <c r="H24" s="22"/>
      <c r="I24" s="25"/>
      <c r="J24" s="2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75" customHeight="1" spans="1:26">
      <c r="A25" s="2"/>
      <c r="B25" s="27" t="s">
        <v>46</v>
      </c>
      <c r="C25" s="22"/>
      <c r="D25" s="28"/>
      <c r="E25" s="22"/>
      <c r="F25" s="22"/>
      <c r="G25" s="25"/>
      <c r="H25" s="22"/>
      <c r="I25" s="25"/>
      <c r="J25" s="2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 spans="1:26">
      <c r="A26" s="2"/>
      <c r="B26" s="14" t="s">
        <v>47</v>
      </c>
      <c r="C26" s="15"/>
      <c r="D26" s="15"/>
      <c r="E26" s="15"/>
      <c r="F26" s="15"/>
      <c r="G26" s="15"/>
      <c r="H26" s="15"/>
      <c r="I26" s="15"/>
      <c r="J26" s="15"/>
      <c r="K26" s="3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 spans="1:26">
      <c r="A27" s="2"/>
      <c r="B27" s="34" t="s">
        <v>48</v>
      </c>
      <c r="C27" s="17"/>
      <c r="D27" s="17"/>
      <c r="E27" s="17"/>
      <c r="F27" s="17"/>
      <c r="G27" s="35"/>
      <c r="H27" s="17"/>
      <c r="I27" s="35"/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 spans="1:26">
      <c r="A28" s="2"/>
      <c r="B28" s="34" t="s">
        <v>49</v>
      </c>
      <c r="C28" s="17"/>
      <c r="D28" s="17"/>
      <c r="E28" s="17"/>
      <c r="F28" s="17"/>
      <c r="G28" s="35"/>
      <c r="H28" s="17"/>
      <c r="I28" s="35"/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75" customHeight="1" spans="1:26">
      <c r="A29" s="2"/>
      <c r="B29" s="26" t="s">
        <v>50</v>
      </c>
      <c r="C29" s="24" t="s">
        <v>51</v>
      </c>
      <c r="D29" s="24" t="s">
        <v>52</v>
      </c>
      <c r="E29" s="24" t="s">
        <v>8</v>
      </c>
      <c r="F29" s="24"/>
      <c r="G29" s="25"/>
      <c r="H29" s="24" t="s">
        <v>27</v>
      </c>
      <c r="I29" s="25">
        <v>216000</v>
      </c>
      <c r="J29" s="2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75" customHeight="1" spans="1:26">
      <c r="A30" s="2"/>
      <c r="B30" s="26" t="s">
        <v>53</v>
      </c>
      <c r="C30" s="24" t="s">
        <v>51</v>
      </c>
      <c r="D30" s="24" t="s">
        <v>52</v>
      </c>
      <c r="E30" s="24" t="s">
        <v>8</v>
      </c>
      <c r="F30" s="24"/>
      <c r="G30" s="25"/>
      <c r="H30" s="24" t="s">
        <v>21</v>
      </c>
      <c r="I30" s="25">
        <v>120000</v>
      </c>
      <c r="J30" s="2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75" customHeight="1" spans="1:26">
      <c r="A31" s="2"/>
      <c r="B31" s="26" t="s">
        <v>54</v>
      </c>
      <c r="C31" s="24" t="s">
        <v>51</v>
      </c>
      <c r="D31" s="24" t="s">
        <v>52</v>
      </c>
      <c r="E31" s="24" t="s">
        <v>8</v>
      </c>
      <c r="F31" s="24"/>
      <c r="G31" s="25"/>
      <c r="H31" s="24" t="s">
        <v>27</v>
      </c>
      <c r="I31" s="25">
        <v>280000</v>
      </c>
      <c r="J31" s="2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75" customHeight="1" spans="1:26">
      <c r="A32" s="2"/>
      <c r="B32" s="26" t="s">
        <v>55</v>
      </c>
      <c r="C32" s="24" t="s">
        <v>56</v>
      </c>
      <c r="D32" s="24" t="s">
        <v>52</v>
      </c>
      <c r="E32" s="24" t="s">
        <v>8</v>
      </c>
      <c r="F32" s="24"/>
      <c r="G32" s="25"/>
      <c r="H32" s="24" t="s">
        <v>27</v>
      </c>
      <c r="I32" s="25">
        <v>105000</v>
      </c>
      <c r="J32" s="2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6.25" customHeight="1" spans="1:26">
      <c r="A33" s="2"/>
      <c r="B33" s="26" t="s">
        <v>57</v>
      </c>
      <c r="C33" s="22" t="s">
        <v>23</v>
      </c>
      <c r="D33" s="23" t="s">
        <v>24</v>
      </c>
      <c r="E33" s="24" t="s">
        <v>26</v>
      </c>
      <c r="F33" s="24"/>
      <c r="G33" s="25"/>
      <c r="H33" s="24" t="s">
        <v>27</v>
      </c>
      <c r="I33" s="25">
        <v>140000</v>
      </c>
      <c r="J33" s="2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6.25" customHeight="1" spans="1:26">
      <c r="A34" s="2"/>
      <c r="B34" s="18" t="s">
        <v>58</v>
      </c>
      <c r="C34" s="24"/>
      <c r="D34" s="36"/>
      <c r="E34" s="24"/>
      <c r="F34" s="24"/>
      <c r="G34" s="25"/>
      <c r="H34" s="24"/>
      <c r="I34" s="25"/>
      <c r="J34" s="2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6.25" customHeight="1" spans="1:26">
      <c r="A35" s="2"/>
      <c r="B35" s="26" t="s">
        <v>59</v>
      </c>
      <c r="C35" s="22" t="s">
        <v>23</v>
      </c>
      <c r="D35" s="23" t="s">
        <v>24</v>
      </c>
      <c r="E35" s="24" t="s">
        <v>26</v>
      </c>
      <c r="F35" s="24"/>
      <c r="G35" s="25"/>
      <c r="H35" s="24" t="s">
        <v>27</v>
      </c>
      <c r="I35" s="25">
        <v>250000</v>
      </c>
      <c r="J35" s="2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6.25" customHeight="1" spans="1:26">
      <c r="A36" s="2"/>
      <c r="B36" s="26" t="s">
        <v>60</v>
      </c>
      <c r="C36" s="24"/>
      <c r="D36" s="36"/>
      <c r="E36" s="24"/>
      <c r="F36" s="24"/>
      <c r="G36" s="25"/>
      <c r="H36" s="23" t="s">
        <v>61</v>
      </c>
      <c r="I36" s="25">
        <v>70000</v>
      </c>
      <c r="J36" s="2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6.25" customHeight="1" spans="1:26">
      <c r="A37" s="2"/>
      <c r="B37" s="26" t="s">
        <v>62</v>
      </c>
      <c r="C37" s="24"/>
      <c r="D37" s="36"/>
      <c r="E37" s="24"/>
      <c r="F37" s="24"/>
      <c r="G37" s="25"/>
      <c r="H37" s="24" t="s">
        <v>27</v>
      </c>
      <c r="I37" s="25">
        <v>210000</v>
      </c>
      <c r="J37" s="2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3.25" customHeight="1" spans="1:26">
      <c r="B38" s="26"/>
      <c r="C38" s="37"/>
      <c r="D38" s="38"/>
      <c r="E38" s="37"/>
      <c r="F38" s="37"/>
      <c r="G38" s="39"/>
      <c r="H38" s="37"/>
      <c r="I38" s="39"/>
      <c r="J38" s="37"/>
    </row>
    <row r="39" ht="23.25" customHeight="1" spans="1:26">
      <c r="B39" s="40" t="s">
        <v>63</v>
      </c>
      <c r="C39" s="37"/>
      <c r="D39" s="38"/>
      <c r="E39" s="37"/>
      <c r="F39" s="37"/>
      <c r="G39" s="39"/>
      <c r="H39" s="37"/>
      <c r="I39" s="39"/>
      <c r="J39" s="37"/>
    </row>
    <row r="40" ht="23.25" customHeight="1" spans="1:26">
      <c r="B40" s="26" t="s">
        <v>64</v>
      </c>
      <c r="C40" s="24"/>
      <c r="D40" s="37"/>
      <c r="E40" s="37"/>
      <c r="F40" s="37"/>
      <c r="G40" s="39"/>
      <c r="H40" s="37" t="s">
        <v>27</v>
      </c>
      <c r="I40" s="39">
        <v>70000</v>
      </c>
      <c r="J40" s="37"/>
    </row>
    <row r="41" ht="23.25" customHeight="1" spans="1:26">
      <c r="B41" s="26" t="s">
        <v>65</v>
      </c>
      <c r="C41" s="24"/>
      <c r="D41" s="37"/>
      <c r="E41" s="37"/>
      <c r="F41" s="37"/>
      <c r="G41" s="39"/>
      <c r="H41" s="37" t="s">
        <v>27</v>
      </c>
      <c r="I41" s="39">
        <v>80000</v>
      </c>
      <c r="J41" s="37"/>
    </row>
    <row r="42" ht="23.25" customHeight="1" spans="1:26">
      <c r="B42" s="26" t="s">
        <v>66</v>
      </c>
      <c r="C42" s="24" t="s">
        <v>67</v>
      </c>
      <c r="D42" s="37">
        <v>30</v>
      </c>
      <c r="E42" s="37" t="s">
        <v>68</v>
      </c>
      <c r="F42" s="37" t="s">
        <v>38</v>
      </c>
      <c r="G42" s="39">
        <v>2000</v>
      </c>
      <c r="H42" s="37"/>
      <c r="I42" s="39"/>
      <c r="J42" s="37"/>
    </row>
    <row r="43" ht="23.25" customHeight="1" spans="1:26">
      <c r="B43" s="27" t="s">
        <v>69</v>
      </c>
      <c r="C43" s="24" t="s">
        <v>70</v>
      </c>
      <c r="D43" s="37">
        <v>10</v>
      </c>
      <c r="E43" s="37" t="s">
        <v>71</v>
      </c>
      <c r="F43" s="37" t="s">
        <v>43</v>
      </c>
      <c r="G43" s="39">
        <v>10000</v>
      </c>
      <c r="H43" s="37"/>
      <c r="I43" s="39"/>
      <c r="J43" s="37"/>
    </row>
    <row r="44" ht="26.25" customHeight="1" spans="1:26">
      <c r="B44" s="27" t="s">
        <v>72</v>
      </c>
      <c r="C44" s="24"/>
      <c r="D44" s="37"/>
      <c r="E44" s="37"/>
      <c r="F44" s="37"/>
      <c r="G44" s="39"/>
      <c r="H44" s="37" t="s">
        <v>73</v>
      </c>
      <c r="I44" s="39"/>
      <c r="J44" s="37"/>
    </row>
    <row r="45" ht="26.25" customHeight="1" spans="1:26">
      <c r="B45" s="27" t="s">
        <v>74</v>
      </c>
      <c r="C45" s="24"/>
      <c r="D45" s="37"/>
      <c r="E45" s="37"/>
      <c r="F45" s="37"/>
      <c r="G45" s="39"/>
      <c r="H45" s="37" t="s">
        <v>27</v>
      </c>
      <c r="I45" s="39">
        <v>70000</v>
      </c>
      <c r="J45" s="37"/>
    </row>
    <row r="46" ht="26.25" customHeight="1" spans="1:26">
      <c r="B46" s="27" t="s">
        <v>75</v>
      </c>
      <c r="C46" s="24"/>
      <c r="D46" s="37"/>
      <c r="E46" s="37"/>
      <c r="F46" s="37"/>
      <c r="G46" s="39"/>
      <c r="H46" s="37" t="s">
        <v>27</v>
      </c>
      <c r="I46" s="39">
        <v>99900</v>
      </c>
      <c r="J46" s="37"/>
    </row>
    <row r="47" ht="26.25" customHeight="1" spans="1:26">
      <c r="B47" s="27" t="s">
        <v>76</v>
      </c>
      <c r="C47" s="24"/>
      <c r="D47" s="37"/>
      <c r="E47" s="37"/>
      <c r="F47" s="37"/>
      <c r="G47" s="39"/>
      <c r="H47" s="37" t="s">
        <v>27</v>
      </c>
      <c r="I47" s="39">
        <v>166500</v>
      </c>
      <c r="J47" s="37"/>
    </row>
    <row r="48" ht="26.25" customHeight="1" spans="1:26">
      <c r="B48" s="27" t="s">
        <v>77</v>
      </c>
      <c r="C48" s="24" t="s">
        <v>78</v>
      </c>
      <c r="D48" s="37">
        <v>50</v>
      </c>
      <c r="E48" s="37" t="s">
        <v>68</v>
      </c>
      <c r="F48" s="37" t="s">
        <v>43</v>
      </c>
      <c r="G48" s="39">
        <v>1500</v>
      </c>
      <c r="H48" s="37" t="s">
        <v>27</v>
      </c>
      <c r="I48" s="39">
        <v>250000</v>
      </c>
      <c r="J48" s="37"/>
    </row>
    <row r="49" ht="26.25" customHeight="1" spans="2:10">
      <c r="B49" s="27" t="s">
        <v>79</v>
      </c>
      <c r="C49" s="24"/>
      <c r="D49" s="37"/>
      <c r="E49" s="37"/>
      <c r="F49" s="37"/>
      <c r="G49" s="39"/>
      <c r="H49" s="37" t="s">
        <v>27</v>
      </c>
      <c r="I49" s="39">
        <v>380000</v>
      </c>
      <c r="J49" s="37"/>
    </row>
    <row r="50" ht="26.25" customHeight="1" spans="2:10">
      <c r="B50" s="27" t="s">
        <v>80</v>
      </c>
      <c r="C50" s="24" t="s">
        <v>67</v>
      </c>
      <c r="D50" s="37">
        <v>30</v>
      </c>
      <c r="E50" s="37" t="s">
        <v>68</v>
      </c>
      <c r="F50" s="37" t="s">
        <v>38</v>
      </c>
      <c r="G50" s="39">
        <v>2500</v>
      </c>
      <c r="H50" s="37" t="s">
        <v>27</v>
      </c>
      <c r="I50" s="39">
        <v>75000</v>
      </c>
      <c r="J50" s="37"/>
    </row>
    <row r="51" ht="26.25" customHeight="1" spans="2:10">
      <c r="B51" s="27" t="s">
        <v>81</v>
      </c>
      <c r="C51" s="24"/>
      <c r="D51" s="37"/>
      <c r="E51" s="37"/>
      <c r="F51" s="37"/>
      <c r="G51" s="39"/>
      <c r="H51" s="37" t="s">
        <v>27</v>
      </c>
      <c r="I51" s="39">
        <v>20000</v>
      </c>
      <c r="J51" s="37"/>
    </row>
    <row r="52" ht="26.25" customHeight="1" spans="2:10">
      <c r="B52" s="27" t="s">
        <v>82</v>
      </c>
      <c r="C52" s="24" t="s">
        <v>83</v>
      </c>
      <c r="D52" s="37">
        <v>80</v>
      </c>
      <c r="E52" s="37" t="s">
        <v>68</v>
      </c>
      <c r="F52" s="37" t="s">
        <v>43</v>
      </c>
      <c r="G52" s="39">
        <v>1500</v>
      </c>
      <c r="H52" s="37" t="s">
        <v>27</v>
      </c>
      <c r="I52" s="39">
        <v>100000</v>
      </c>
      <c r="J52" s="37"/>
    </row>
    <row r="53" ht="26.25" customHeight="1" spans="2:10">
      <c r="B53" s="41" t="s">
        <v>84</v>
      </c>
      <c r="C53" s="24"/>
      <c r="D53" s="37"/>
      <c r="E53" s="37"/>
      <c r="F53" s="37"/>
      <c r="G53" s="39"/>
      <c r="H53" s="37"/>
      <c r="I53" s="39"/>
      <c r="J53" s="37"/>
    </row>
    <row r="54" ht="26.25" customHeight="1" spans="2:10">
      <c r="B54" s="27" t="s">
        <v>85</v>
      </c>
      <c r="C54" s="24" t="s">
        <v>41</v>
      </c>
      <c r="D54" s="37">
        <v>246</v>
      </c>
      <c r="E54" s="37" t="s">
        <v>68</v>
      </c>
      <c r="F54" s="37" t="s">
        <v>43</v>
      </c>
      <c r="G54" s="39">
        <v>1300</v>
      </c>
      <c r="H54" s="23" t="s">
        <v>61</v>
      </c>
      <c r="I54" s="39">
        <v>30000</v>
      </c>
      <c r="J54" s="23"/>
    </row>
    <row r="55" ht="26.25" customHeight="1" spans="2:10">
      <c r="B55" s="27" t="s">
        <v>86</v>
      </c>
      <c r="C55" s="24"/>
      <c r="D55" s="37"/>
      <c r="E55" s="37"/>
      <c r="F55" s="37"/>
      <c r="G55" s="39"/>
      <c r="H55" s="37" t="s">
        <v>27</v>
      </c>
      <c r="I55" s="39">
        <v>10000</v>
      </c>
      <c r="J55" s="37"/>
    </row>
    <row r="56" ht="26.25" customHeight="1" spans="2:10">
      <c r="B56" s="27"/>
      <c r="C56" s="24"/>
      <c r="D56" s="37"/>
      <c r="E56" s="37"/>
      <c r="F56" s="37"/>
      <c r="G56" s="39"/>
      <c r="H56" s="37"/>
      <c r="I56" s="39"/>
      <c r="J56" s="37"/>
    </row>
    <row r="57" ht="18" customHeight="1" spans="2:10">
      <c r="B57" s="42" t="s">
        <v>87</v>
      </c>
      <c r="C57" s="43"/>
      <c r="D57" s="43"/>
      <c r="E57" s="43"/>
      <c r="F57" s="43"/>
      <c r="G57" s="43"/>
      <c r="H57" s="43"/>
      <c r="I57" s="43"/>
      <c r="J57" s="43"/>
    </row>
    <row r="58" ht="18" customHeight="1" spans="2:10">
      <c r="B58" s="44" t="s">
        <v>88</v>
      </c>
      <c r="C58" s="45" t="s">
        <v>89</v>
      </c>
      <c r="D58" s="45">
        <v>90</v>
      </c>
      <c r="E58" s="45" t="s">
        <v>68</v>
      </c>
      <c r="F58" s="45" t="s">
        <v>43</v>
      </c>
      <c r="G58" s="46">
        <v>3000</v>
      </c>
      <c r="H58" s="45"/>
      <c r="I58" s="46"/>
      <c r="J58" s="45"/>
    </row>
    <row r="59" ht="27" customHeight="1" spans="2:10">
      <c r="B59" s="27" t="s">
        <v>90</v>
      </c>
      <c r="C59" s="45"/>
      <c r="D59" s="45"/>
      <c r="E59" s="45"/>
      <c r="F59" s="45"/>
      <c r="G59" s="46"/>
      <c r="H59" s="45"/>
      <c r="I59" s="46"/>
      <c r="J59" s="45"/>
    </row>
    <row r="60" ht="27" customHeight="1" spans="2:10">
      <c r="B60" s="27" t="s">
        <v>91</v>
      </c>
      <c r="C60" s="45"/>
      <c r="D60" s="45"/>
      <c r="E60" s="45"/>
      <c r="F60" s="45"/>
      <c r="G60" s="46"/>
      <c r="H60" s="45"/>
      <c r="I60" s="46"/>
      <c r="J60" s="45"/>
    </row>
    <row r="61" ht="27" customHeight="1" spans="2:10">
      <c r="B61" s="27" t="s">
        <v>92</v>
      </c>
      <c r="C61" s="45"/>
      <c r="D61" s="45"/>
      <c r="E61" s="45"/>
      <c r="F61" s="45"/>
      <c r="G61" s="46"/>
      <c r="H61" s="45"/>
      <c r="I61" s="46"/>
      <c r="J61" s="45"/>
    </row>
    <row r="62" ht="18" customHeight="1" spans="2:10">
      <c r="B62" s="47" t="s">
        <v>93</v>
      </c>
      <c r="C62" s="37" t="s">
        <v>94</v>
      </c>
      <c r="D62" s="37"/>
      <c r="E62" s="37" t="s">
        <v>16</v>
      </c>
      <c r="F62" s="37" t="s">
        <v>17</v>
      </c>
      <c r="G62" s="39">
        <v>5000</v>
      </c>
      <c r="H62" s="37"/>
      <c r="I62" s="39"/>
      <c r="J62" s="37"/>
    </row>
    <row r="63" ht="24" customHeight="1" spans="2:10">
      <c r="B63" s="27" t="s">
        <v>95</v>
      </c>
      <c r="C63" s="45"/>
      <c r="D63" s="45"/>
      <c r="E63" s="45"/>
      <c r="F63" s="45"/>
      <c r="G63" s="46"/>
      <c r="H63" s="45"/>
      <c r="I63" s="46"/>
      <c r="J63" s="45"/>
    </row>
    <row r="64" ht="24" customHeight="1" spans="2:10">
      <c r="B64" s="44" t="s">
        <v>96</v>
      </c>
      <c r="C64" s="45" t="s">
        <v>97</v>
      </c>
      <c r="D64" s="45">
        <v>30</v>
      </c>
      <c r="E64" s="45" t="s">
        <v>16</v>
      </c>
      <c r="F64" s="45" t="s">
        <v>38</v>
      </c>
      <c r="G64" s="46">
        <v>3000</v>
      </c>
      <c r="H64" s="45"/>
      <c r="I64" s="46"/>
      <c r="J64" s="45"/>
    </row>
    <row r="65" ht="29.25" customHeight="1" spans="2:10">
      <c r="B65" s="27" t="s">
        <v>98</v>
      </c>
      <c r="C65" s="45"/>
      <c r="D65" s="45"/>
      <c r="E65" s="45"/>
      <c r="F65" s="45"/>
      <c r="G65" s="46"/>
      <c r="H65" s="45"/>
      <c r="I65" s="46"/>
      <c r="J65" s="45"/>
    </row>
    <row r="66" ht="24" customHeight="1" spans="2:10">
      <c r="B66" s="27" t="s">
        <v>99</v>
      </c>
      <c r="C66" s="45"/>
      <c r="D66" s="45"/>
      <c r="E66" s="45"/>
      <c r="F66" s="45"/>
      <c r="G66" s="46"/>
      <c r="H66" s="45"/>
      <c r="I66" s="46"/>
      <c r="J66" s="45"/>
    </row>
    <row r="67" ht="24" customHeight="1" spans="2:10">
      <c r="B67" s="27" t="s">
        <v>100</v>
      </c>
      <c r="C67" s="45" t="s">
        <v>101</v>
      </c>
      <c r="D67" s="45">
        <v>31</v>
      </c>
      <c r="E67" s="45" t="s">
        <v>102</v>
      </c>
      <c r="F67" s="45" t="s">
        <v>38</v>
      </c>
      <c r="G67" s="46">
        <v>1500</v>
      </c>
      <c r="H67" s="45"/>
      <c r="I67" s="46"/>
      <c r="J67" s="45"/>
    </row>
    <row r="68" ht="24" customHeight="1" spans="2:10">
      <c r="B68" s="27"/>
      <c r="C68" s="45"/>
      <c r="D68" s="45"/>
      <c r="E68" s="45"/>
      <c r="F68" s="45"/>
      <c r="G68" s="46">
        <f>SUM(G11:G67)</f>
        <v>61800</v>
      </c>
      <c r="H68" s="45"/>
      <c r="I68" s="46"/>
      <c r="J68" s="45"/>
    </row>
    <row r="69" ht="20.25" customHeight="1" spans="2:10">
      <c r="B69" s="48" t="s">
        <v>103</v>
      </c>
      <c r="C69" s="49"/>
      <c r="D69" s="49"/>
      <c r="E69" s="49"/>
      <c r="F69" s="49"/>
      <c r="G69" s="50"/>
      <c r="H69" s="49"/>
      <c r="I69" s="50"/>
      <c r="J69" s="49"/>
    </row>
    <row r="70" ht="33.75" customHeight="1" spans="2:10">
      <c r="B70" s="26" t="s">
        <v>104</v>
      </c>
      <c r="C70" s="37"/>
      <c r="D70" s="37"/>
      <c r="E70" s="37"/>
      <c r="F70" s="37"/>
      <c r="G70" s="51"/>
      <c r="H70" s="37" t="s">
        <v>27</v>
      </c>
      <c r="I70" s="51">
        <v>156300</v>
      </c>
      <c r="J70" s="37"/>
    </row>
    <row r="71" ht="33.75" customHeight="1" spans="2:10">
      <c r="B71" s="26" t="s">
        <v>105</v>
      </c>
      <c r="C71" s="37" t="s">
        <v>106</v>
      </c>
      <c r="D71" s="37">
        <v>31</v>
      </c>
      <c r="E71" s="37" t="s">
        <v>102</v>
      </c>
      <c r="F71" s="37" t="s">
        <v>38</v>
      </c>
      <c r="G71" s="51">
        <v>500</v>
      </c>
      <c r="H71" s="37" t="s">
        <v>27</v>
      </c>
      <c r="I71" s="51">
        <v>31500</v>
      </c>
      <c r="J71" s="37"/>
    </row>
    <row r="72" ht="33.75" customHeight="1" spans="2:10">
      <c r="B72" s="26" t="s">
        <v>107</v>
      </c>
      <c r="C72" s="37" t="s">
        <v>108</v>
      </c>
      <c r="D72" s="37">
        <v>35</v>
      </c>
      <c r="E72" s="37" t="s">
        <v>102</v>
      </c>
      <c r="F72" s="37" t="s">
        <v>38</v>
      </c>
      <c r="G72" s="51">
        <v>500</v>
      </c>
      <c r="H72" s="23" t="s">
        <v>61</v>
      </c>
      <c r="I72" s="51">
        <v>16000</v>
      </c>
      <c r="J72" s="23"/>
    </row>
    <row r="73" ht="33.75" customHeight="1" spans="2:10">
      <c r="B73" s="26" t="s">
        <v>109</v>
      </c>
      <c r="C73" s="37"/>
      <c r="D73" s="37"/>
      <c r="E73" s="37"/>
      <c r="F73" s="37"/>
      <c r="G73" s="51"/>
      <c r="H73" s="23" t="s">
        <v>61</v>
      </c>
      <c r="I73" s="51">
        <v>60000</v>
      </c>
      <c r="J73" s="23"/>
    </row>
    <row r="74" ht="33.75" customHeight="1" spans="2:10">
      <c r="B74" s="26" t="s">
        <v>110</v>
      </c>
      <c r="C74" s="37"/>
      <c r="D74" s="37"/>
      <c r="E74" s="37"/>
      <c r="F74" s="37"/>
      <c r="G74" s="51"/>
      <c r="H74" s="23" t="s">
        <v>61</v>
      </c>
      <c r="I74" s="51">
        <v>50000</v>
      </c>
      <c r="J74" s="23"/>
    </row>
    <row r="75" ht="33.75" customHeight="1" spans="2:10">
      <c r="B75" s="52" t="s">
        <v>111</v>
      </c>
      <c r="C75" s="49"/>
      <c r="D75" s="49"/>
      <c r="E75" s="49"/>
      <c r="F75" s="49"/>
      <c r="G75" s="50"/>
      <c r="H75" s="49"/>
      <c r="I75" s="50"/>
      <c r="J75" s="49"/>
    </row>
    <row r="76" ht="33.75" customHeight="1" spans="2:10">
      <c r="B76" s="26" t="s">
        <v>112</v>
      </c>
      <c r="C76" s="37"/>
      <c r="D76" s="37"/>
      <c r="E76" s="37"/>
      <c r="F76" s="37"/>
      <c r="G76" s="51"/>
      <c r="H76" s="37" t="s">
        <v>27</v>
      </c>
      <c r="I76" s="51">
        <v>75000</v>
      </c>
      <c r="J76" s="37"/>
    </row>
    <row r="77" ht="33.75" customHeight="1" spans="2:10">
      <c r="B77" s="26" t="s">
        <v>113</v>
      </c>
      <c r="C77" s="37"/>
      <c r="D77" s="37"/>
      <c r="E77" s="37"/>
      <c r="F77" s="37"/>
      <c r="G77" s="51"/>
      <c r="H77" s="23" t="s">
        <v>61</v>
      </c>
      <c r="I77" s="51">
        <v>25000</v>
      </c>
      <c r="J77" s="23"/>
    </row>
    <row r="78" ht="33.75" customHeight="1" spans="2:10">
      <c r="B78" s="26" t="s">
        <v>114</v>
      </c>
      <c r="C78" s="37"/>
      <c r="D78" s="37"/>
      <c r="E78" s="37"/>
      <c r="F78" s="37"/>
      <c r="G78" s="51"/>
      <c r="H78" s="37" t="s">
        <v>27</v>
      </c>
      <c r="I78" s="51">
        <v>67500</v>
      </c>
      <c r="J78" s="37"/>
    </row>
    <row r="79" ht="33.75" customHeight="1" spans="2:10">
      <c r="B79" s="52" t="s">
        <v>115</v>
      </c>
      <c r="C79" s="49"/>
      <c r="D79" s="49"/>
      <c r="E79" s="49"/>
      <c r="F79" s="49"/>
      <c r="G79" s="50"/>
      <c r="H79" s="49"/>
      <c r="I79" s="50"/>
      <c r="J79" s="49"/>
    </row>
    <row r="80" ht="33.75" customHeight="1" spans="2:10">
      <c r="B80" s="26" t="s">
        <v>116</v>
      </c>
      <c r="C80" s="37"/>
      <c r="D80" s="37"/>
      <c r="E80" s="37"/>
      <c r="F80" s="37"/>
      <c r="G80" s="51"/>
      <c r="H80" s="37" t="s">
        <v>27</v>
      </c>
      <c r="I80" s="51">
        <v>208000</v>
      </c>
      <c r="J80" s="37"/>
    </row>
    <row r="81" ht="33.75" customHeight="1" spans="1:26">
      <c r="B81" s="26" t="s">
        <v>117</v>
      </c>
      <c r="C81" s="37"/>
      <c r="D81" s="37"/>
      <c r="E81" s="37"/>
      <c r="F81" s="37"/>
      <c r="G81" s="51"/>
      <c r="H81" s="23" t="s">
        <v>61</v>
      </c>
      <c r="I81" s="51">
        <v>90000</v>
      </c>
      <c r="J81" s="23"/>
    </row>
    <row r="82" ht="33.75" customHeight="1" spans="1:26">
      <c r="A82" s="53"/>
      <c r="B82" s="52" t="s">
        <v>118</v>
      </c>
      <c r="C82" s="54"/>
      <c r="D82" s="54"/>
      <c r="E82" s="54"/>
      <c r="F82" s="54"/>
      <c r="G82" s="55"/>
      <c r="H82" s="54"/>
      <c r="I82" s="55"/>
      <c r="J82" s="54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26.25" customHeight="1" spans="1:26">
      <c r="B83" s="56" t="s">
        <v>119</v>
      </c>
      <c r="C83" s="37" t="s">
        <v>120</v>
      </c>
      <c r="D83" s="37">
        <v>1</v>
      </c>
      <c r="E83" s="37"/>
      <c r="F83" s="37" t="s">
        <v>43</v>
      </c>
      <c r="G83" s="39">
        <v>26400</v>
      </c>
      <c r="H83" s="23" t="s">
        <v>61</v>
      </c>
      <c r="I83" s="39">
        <v>244000</v>
      </c>
      <c r="J83" s="23"/>
    </row>
    <row r="84" ht="26.25" customHeight="1" spans="1:26">
      <c r="B84" s="57" t="s">
        <v>121</v>
      </c>
      <c r="C84" s="37"/>
      <c r="D84" s="37"/>
      <c r="E84" s="37"/>
      <c r="F84" s="37"/>
      <c r="G84" s="39"/>
      <c r="H84" s="37" t="s">
        <v>27</v>
      </c>
      <c r="I84" s="39">
        <v>750000</v>
      </c>
      <c r="J84" s="37"/>
    </row>
    <row r="85" ht="26.25" customHeight="1" spans="1:26">
      <c r="B85" s="57" t="s">
        <v>122</v>
      </c>
      <c r="C85" s="37" t="s">
        <v>123</v>
      </c>
      <c r="D85" s="37">
        <v>8</v>
      </c>
      <c r="E85" s="37"/>
      <c r="F85" s="37" t="s">
        <v>38</v>
      </c>
      <c r="G85" s="39">
        <v>15000</v>
      </c>
      <c r="H85" s="37" t="s">
        <v>27</v>
      </c>
      <c r="I85" s="39">
        <v>100000</v>
      </c>
      <c r="J85" s="37"/>
    </row>
    <row r="86" ht="26.25" customHeight="1" spans="1:26">
      <c r="B86" s="57" t="s">
        <v>124</v>
      </c>
      <c r="C86" s="37"/>
      <c r="D86" s="37"/>
      <c r="E86" s="37"/>
      <c r="F86" s="37"/>
      <c r="G86" s="39"/>
      <c r="H86" s="23" t="s">
        <v>61</v>
      </c>
      <c r="I86" s="39">
        <v>65000</v>
      </c>
      <c r="J86" s="23"/>
    </row>
    <row r="87" ht="26.25" customHeight="1" spans="1:26">
      <c r="B87" s="52" t="s">
        <v>125</v>
      </c>
      <c r="C87" s="49"/>
      <c r="D87" s="49"/>
      <c r="E87" s="49"/>
      <c r="F87" s="49"/>
      <c r="G87" s="50"/>
      <c r="H87" s="49"/>
      <c r="I87" s="50"/>
      <c r="J87" s="49"/>
    </row>
    <row r="88" ht="43.5" customHeight="1" spans="1:26">
      <c r="B88" s="26" t="s">
        <v>126</v>
      </c>
      <c r="C88" s="24" t="s">
        <v>127</v>
      </c>
      <c r="D88" s="37"/>
      <c r="E88" s="37"/>
      <c r="F88" s="37" t="s">
        <v>43</v>
      </c>
      <c r="G88" s="39">
        <v>5000</v>
      </c>
      <c r="H88" s="23" t="s">
        <v>61</v>
      </c>
      <c r="I88" s="39">
        <v>60000</v>
      </c>
      <c r="J88" s="23"/>
    </row>
    <row r="89" ht="26.25" customHeight="1" spans="1:26">
      <c r="B89" s="57"/>
      <c r="C89" s="37"/>
      <c r="D89" s="37"/>
      <c r="E89" s="37"/>
      <c r="F89" s="37"/>
      <c r="G89" s="39">
        <f>SUM(G11:G88)</f>
        <v>171000</v>
      </c>
      <c r="H89" s="37"/>
      <c r="I89" s="39"/>
      <c r="J89" s="37"/>
    </row>
    <row r="90" ht="18" customHeight="1"/>
    <row r="91" ht="20.25" customHeight="1" spans="1:26">
      <c r="A91" s="58"/>
      <c r="B91" s="59" t="s">
        <v>128</v>
      </c>
      <c r="C91" s="58"/>
      <c r="D91" s="59" t="s">
        <v>129</v>
      </c>
      <c r="E91" s="58"/>
      <c r="F91" s="58"/>
      <c r="G91" s="58"/>
      <c r="H91" s="59" t="s">
        <v>130</v>
      </c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28.5" customHeight="1" spans="1:26">
      <c r="B92" s="60" t="s">
        <v>131</v>
      </c>
      <c r="D92" s="1" t="s">
        <v>132</v>
      </c>
      <c r="H92" s="1" t="s">
        <v>133</v>
      </c>
    </row>
    <row r="93" ht="18.75" customHeight="1" spans="1:26">
      <c r="B93" s="59" t="s">
        <v>134</v>
      </c>
      <c r="D93" s="61" t="s">
        <v>135</v>
      </c>
      <c r="H93" s="62" t="s">
        <v>136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2:J2"/>
    <mergeCell ref="B3:J3"/>
    <mergeCell ref="C4:J4"/>
    <mergeCell ref="D5:J5"/>
    <mergeCell ref="F6:I6"/>
    <mergeCell ref="F7:G7"/>
    <mergeCell ref="H7:I7"/>
    <mergeCell ref="D92:G92"/>
    <mergeCell ref="H92:J92"/>
    <mergeCell ref="D93:G93"/>
    <mergeCell ref="H93:J93"/>
    <mergeCell ref="B4:B8"/>
    <mergeCell ref="C5:C8"/>
    <mergeCell ref="D6:D8"/>
    <mergeCell ref="E6:E8"/>
    <mergeCell ref="J6:J8"/>
  </mergeCells>
  <printOptions gridLines="1"/>
  <pageMargins left="0.25" right="0.25" top="0.75" bottom="0.75" header="0" footer="0"/>
  <pageSetup paperSize="14" scale="49" fitToHeight="0" orientation="landscape"/>
  <headerFooter/>
  <rowBreaks count="1" manualBreakCount="1">
    <brk id="20" max="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Dannifa jane Tabaloc</dc:creator>
  <cp:lastModifiedBy>user</cp:lastModifiedBy>
  <dcterms:created xsi:type="dcterms:W3CDTF">2026-04-06T07:07:00Z</dcterms:created>
  <dcterms:modified xsi:type="dcterms:W3CDTF">2026-09-13T04:14:59Z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21BC2629180A4AC9B549D0C68EDE8ABF_13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